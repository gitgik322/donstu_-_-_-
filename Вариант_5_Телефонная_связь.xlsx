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</sheets>
  <definedNames>
    <definedName name="_xlnm._FilterDatabase" localSheetId="0" hidden="1">'Ведомость'!$A$4:$D$14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оплаты услуг по абонентам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'Ведомость'!D4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'Ведомость'!$B$5:$B$14</f>
            </numRef>
          </cat>
          <val>
            <numRef>
              <f>'Ведомость'!$D$5:$D$14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Абоненты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 оплаты, 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22" customWidth="1" min="4" max="4"/>
  </cols>
  <sheetData>
    <row r="1" ht="30" customHeight="1">
      <c r="A1" s="1" t="inlineStr">
        <is>
          <t>Ведомость оплаты услуг телефонной связи — вариант 5</t>
        </is>
      </c>
    </row>
    <row r="2" ht="32" customHeight="1">
      <c r="A2" s="2" t="inlineStr">
        <is>
          <t>Тариф: 370 минут в месяц — абонентская плата 200 руб.; каждая минута сверх нормы — 2 руб.</t>
        </is>
      </c>
    </row>
    <row r="4">
      <c r="A4" s="3" t="inlineStr">
        <is>
          <t>№</t>
        </is>
      </c>
      <c r="B4" s="3" t="inlineStr">
        <is>
          <t>Абонент</t>
        </is>
      </c>
      <c r="C4" s="3" t="inlineStr">
        <is>
          <t>Время разговора, мин</t>
        </is>
      </c>
      <c r="D4" s="3" t="inlineStr">
        <is>
          <t>Сумма оплаты, руб.</t>
        </is>
      </c>
    </row>
    <row r="5">
      <c r="A5" s="4" t="n">
        <v>1</v>
      </c>
      <c r="B5" s="4" t="inlineStr">
        <is>
          <t>Абонент 1</t>
        </is>
      </c>
      <c r="C5" s="4" t="n">
        <v>245</v>
      </c>
      <c r="D5" s="5">
        <f>200+MAX(0,C5-370)*2</f>
        <v/>
      </c>
    </row>
    <row r="6">
      <c r="A6" s="4" t="n">
        <v>2</v>
      </c>
      <c r="B6" s="4" t="inlineStr">
        <is>
          <t>Абонент 2</t>
        </is>
      </c>
      <c r="C6" s="4" t="n">
        <v>370</v>
      </c>
      <c r="D6" s="5">
        <f>200+MAX(0,C6-370)*2</f>
        <v/>
      </c>
    </row>
    <row r="7">
      <c r="A7" s="4" t="n">
        <v>3</v>
      </c>
      <c r="B7" s="4" t="inlineStr">
        <is>
          <t>Абонент 3</t>
        </is>
      </c>
      <c r="C7" s="4" t="n">
        <v>382</v>
      </c>
      <c r="D7" s="5">
        <f>200+MAX(0,C7-370)*2</f>
        <v/>
      </c>
    </row>
    <row r="8">
      <c r="A8" s="4" t="n">
        <v>4</v>
      </c>
      <c r="B8" s="4" t="inlineStr">
        <is>
          <t>Абонент 4</t>
        </is>
      </c>
      <c r="C8" s="4" t="n">
        <v>415</v>
      </c>
      <c r="D8" s="5">
        <f>200+MAX(0,C8-370)*2</f>
        <v/>
      </c>
    </row>
    <row r="9">
      <c r="A9" s="4" t="n">
        <v>5</v>
      </c>
      <c r="B9" s="4" t="inlineStr">
        <is>
          <t>Абонент 5</t>
        </is>
      </c>
      <c r="C9" s="4" t="n">
        <v>298</v>
      </c>
      <c r="D9" s="5">
        <f>200+MAX(0,C9-370)*2</f>
        <v/>
      </c>
    </row>
    <row r="10">
      <c r="A10" s="4" t="n">
        <v>6</v>
      </c>
      <c r="B10" s="4" t="inlineStr">
        <is>
          <t>Абонент 6</t>
        </is>
      </c>
      <c r="C10" s="4" t="n">
        <v>506</v>
      </c>
      <c r="D10" s="5">
        <f>200+MAX(0,C10-370)*2</f>
        <v/>
      </c>
    </row>
    <row r="11">
      <c r="A11" s="4" t="n">
        <v>7</v>
      </c>
      <c r="B11" s="4" t="inlineStr">
        <is>
          <t>Абонент 7</t>
        </is>
      </c>
      <c r="C11" s="4" t="n">
        <v>355</v>
      </c>
      <c r="D11" s="5">
        <f>200+MAX(0,C11-370)*2</f>
        <v/>
      </c>
    </row>
    <row r="12">
      <c r="A12" s="4" t="n">
        <v>8</v>
      </c>
      <c r="B12" s="4" t="inlineStr">
        <is>
          <t>Абонент 8</t>
        </is>
      </c>
      <c r="C12" s="4" t="n">
        <v>440</v>
      </c>
      <c r="D12" s="5">
        <f>200+MAX(0,C12-370)*2</f>
        <v/>
      </c>
    </row>
    <row r="13">
      <c r="A13" s="4" t="n">
        <v>9</v>
      </c>
      <c r="B13" s="4" t="inlineStr">
        <is>
          <t>Абонент 9</t>
        </is>
      </c>
      <c r="C13" s="4" t="n">
        <v>371</v>
      </c>
      <c r="D13" s="5">
        <f>200+MAX(0,C13-370)*2</f>
        <v/>
      </c>
    </row>
    <row r="14">
      <c r="A14" s="4" t="n">
        <v>10</v>
      </c>
      <c r="B14" s="4" t="inlineStr">
        <is>
          <t>Абонент 10</t>
        </is>
      </c>
      <c r="C14" s="4" t="n">
        <v>325</v>
      </c>
      <c r="D14" s="5">
        <f>200+MAX(0,C14-370)*2</f>
        <v/>
      </c>
    </row>
    <row r="16">
      <c r="A16" s="6" t="inlineStr">
        <is>
          <t>Итого за месяц</t>
        </is>
      </c>
      <c r="D16" s="7">
        <f>SUM(D5:D14)</f>
        <v/>
      </c>
    </row>
    <row r="17">
      <c r="A17" s="6" t="inlineStr">
        <is>
          <t>Средняя оплата</t>
        </is>
      </c>
      <c r="D17" s="7">
        <f>AVERAGE(D5:D14)</f>
        <v/>
      </c>
    </row>
    <row r="18">
      <c r="A18" s="6" t="inlineStr">
        <is>
          <t>Максимальная оплата</t>
        </is>
      </c>
      <c r="D18" s="7">
        <f>MAX(D5:D14)</f>
        <v/>
      </c>
    </row>
    <row r="19">
      <c r="A19" s="6" t="inlineStr">
        <is>
          <t>Минимальная оплата</t>
        </is>
      </c>
      <c r="D19" s="7">
        <f>MIN(D5:D14)</f>
        <v/>
      </c>
    </row>
    <row r="21">
      <c r="A21" s="8" t="inlineStr">
        <is>
          <t>Примечание: количество минут указано самостоятельно; расчёт оплаты выполняется формулой.</t>
        </is>
      </c>
    </row>
  </sheetData>
  <autoFilter ref="A4:D14"/>
  <mergeCells count="3">
    <mergeCell ref="A1:D1"/>
    <mergeCell ref="A21:D2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2026-10-29T08:07:10Z</dcterms:created>
  <dcterms:modified xmlns:dcterms="http://purl.org/dc/terms/" xmlns:xsi="http://www.w3.org/2001/XMLSchema-instance" xsi:type="dcterms:W3CDTF">2026-10-29T08:07:10Z</dcterms:modified>
</cp:coreProperties>
</file>